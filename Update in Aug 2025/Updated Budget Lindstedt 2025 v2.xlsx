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https://arcadauas-my.sharepoint.com/personal/dayamani_arcada_fi/Documents/My Research/Lindstedt Business Proposal/Update in Aug 2025/"/>
    </mc:Choice>
  </mc:AlternateContent>
  <xr:revisionPtr revIDLastSave="10" documentId="8_{AB42BCAB-6966-4F8C-B1AF-BAC3D23B0726}" xr6:coauthVersionLast="47" xr6:coauthVersionMax="47" xr10:uidLastSave="{336C0B96-E1C4-4A83-A0F9-A9D448B52AFC}"/>
  <bookViews>
    <workbookView xWindow="-108" yWindow="-108" windowWidth="23256" windowHeight="12456" xr2:uid="{00000000-000D-0000-FFFF-FFFF00000000}"/>
  </bookViews>
  <sheets>
    <sheet name="Sheet1" sheetId="1" r:id="rId1"/>
  </sheets>
  <definedNames>
    <definedName name="_xlnm.Print_Area" localSheetId="0">Sheet1!$A$1:$L$58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2" i="1" l="1"/>
  <c r="G41" i="1"/>
  <c r="F37" i="1"/>
  <c r="I37" i="1" s="1"/>
  <c r="E37" i="1"/>
  <c r="G31" i="1"/>
  <c r="G30" i="1"/>
  <c r="K16" i="1"/>
  <c r="E16" i="1"/>
  <c r="G16" i="1" s="1"/>
  <c r="J37" i="1" l="1"/>
  <c r="K37" i="1"/>
  <c r="I16" i="1"/>
  <c r="J16" i="1"/>
  <c r="G37" i="1" l="1"/>
  <c r="F14" i="1"/>
  <c r="L38" i="1" l="1"/>
  <c r="L43" i="1" l="1"/>
  <c r="L42" i="1"/>
  <c r="L41" i="1"/>
  <c r="L40" i="1"/>
  <c r="L37" i="1"/>
  <c r="K45" i="1"/>
  <c r="J45" i="1"/>
  <c r="I45" i="1"/>
  <c r="C56" i="1" l="1"/>
  <c r="B56" i="1" s="1"/>
  <c r="L39" i="1"/>
  <c r="L33" i="1"/>
  <c r="L32" i="1"/>
  <c r="L31" i="1"/>
  <c r="L30" i="1"/>
  <c r="C57" i="1" l="1"/>
  <c r="D57" i="1" s="1"/>
  <c r="J15" i="1"/>
  <c r="K15" i="1"/>
  <c r="J17" i="1"/>
  <c r="K17" i="1"/>
  <c r="J18" i="1"/>
  <c r="K18" i="1"/>
  <c r="J19" i="1"/>
  <c r="K19" i="1"/>
  <c r="J20" i="1"/>
  <c r="K20" i="1"/>
  <c r="J21" i="1"/>
  <c r="K21" i="1"/>
  <c r="J22" i="1"/>
  <c r="K22" i="1"/>
  <c r="J23" i="1"/>
  <c r="K23" i="1"/>
  <c r="J14" i="1"/>
  <c r="K14" i="1"/>
  <c r="I14" i="1"/>
  <c r="I15" i="1"/>
  <c r="I17" i="1"/>
  <c r="I18" i="1"/>
  <c r="I19" i="1"/>
  <c r="I20" i="1"/>
  <c r="I21" i="1"/>
  <c r="I22" i="1"/>
  <c r="I23" i="1"/>
  <c r="K34" i="1"/>
  <c r="E15" i="1"/>
  <c r="E17" i="1"/>
  <c r="E18" i="1"/>
  <c r="E19" i="1"/>
  <c r="E20" i="1"/>
  <c r="E21" i="1"/>
  <c r="E22" i="1"/>
  <c r="E23" i="1"/>
  <c r="E14" i="1"/>
  <c r="K24" i="1" l="1"/>
  <c r="K25" i="1" s="1"/>
  <c r="E24" i="1"/>
  <c r="J34" i="1"/>
  <c r="I34" i="1"/>
  <c r="J24" i="1"/>
  <c r="J25" i="1" s="1"/>
  <c r="I24" i="1"/>
  <c r="K26" i="1" l="1"/>
  <c r="K47" i="1" s="1"/>
  <c r="K48" i="1" s="1"/>
  <c r="K51" i="1" s="1"/>
  <c r="I25" i="1"/>
  <c r="J26" i="1"/>
  <c r="J47" i="1" s="1"/>
  <c r="J48" i="1" s="1"/>
  <c r="J51" i="1" s="1"/>
  <c r="G18" i="1"/>
  <c r="G17" i="1"/>
  <c r="K55" i="1" l="1"/>
  <c r="K54" i="1"/>
  <c r="J54" i="1"/>
  <c r="J55" i="1"/>
  <c r="L18" i="1"/>
  <c r="L17" i="1"/>
  <c r="I26" i="1"/>
  <c r="I47" i="1" s="1"/>
  <c r="G15" i="1"/>
  <c r="G19" i="1"/>
  <c r="G20" i="1"/>
  <c r="G21" i="1"/>
  <c r="G22" i="1"/>
  <c r="G23" i="1"/>
  <c r="G45" i="1"/>
  <c r="I48" i="1" l="1"/>
  <c r="L45" i="1"/>
  <c r="K56" i="1"/>
  <c r="K57" i="1" s="1"/>
  <c r="J56" i="1"/>
  <c r="J57" i="1" s="1"/>
  <c r="L20" i="1"/>
  <c r="L23" i="1"/>
  <c r="L22" i="1"/>
  <c r="L15" i="1"/>
  <c r="L19" i="1"/>
  <c r="L21" i="1"/>
  <c r="G14" i="1"/>
  <c r="G34" i="1"/>
  <c r="L34" i="1" l="1"/>
  <c r="I51" i="1"/>
  <c r="L14" i="1"/>
  <c r="G24" i="1"/>
  <c r="I55" i="1" l="1"/>
  <c r="I54" i="1"/>
  <c r="L24" i="1"/>
  <c r="G25" i="1"/>
  <c r="I56" i="1" l="1"/>
  <c r="L25" i="1"/>
  <c r="G26" i="1"/>
  <c r="I57" i="1" l="1"/>
  <c r="G47" i="1"/>
  <c r="L47" i="1" l="1"/>
  <c r="G48" i="1"/>
  <c r="L48" i="1" l="1"/>
  <c r="G51" i="1"/>
  <c r="L51" i="1" l="1"/>
  <c r="G55" i="1"/>
  <c r="G54" i="1"/>
  <c r="L54" i="1" l="1"/>
  <c r="L55" i="1"/>
  <c r="G56" i="1"/>
  <c r="G57" i="1" l="1"/>
  <c r="C6" i="1" s="1"/>
  <c r="L56" i="1"/>
  <c r="L5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 Lund</author>
    <author>Michael von Boguslawski</author>
  </authors>
  <commentList>
    <comment ref="E13" authorId="0" shapeId="0" xr:uid="{00000000-0006-0000-0000-000001000000}">
      <text>
        <r>
          <rPr>
            <sz val="9"/>
            <color indexed="81"/>
            <rFont val="Tahoma"/>
            <family val="2"/>
          </rPr>
          <t xml:space="preserve">Totala antalet timmar som resurseras för projektet per person
 </t>
        </r>
      </text>
    </comment>
    <comment ref="F13" authorId="0" shapeId="0" xr:uid="{00000000-0006-0000-0000-000002000000}">
      <text>
        <r>
          <rPr>
            <sz val="9"/>
            <color indexed="81"/>
            <rFont val="Tahoma"/>
            <family val="2"/>
          </rPr>
          <t xml:space="preserve">Timlön som inkluderar semesterlön men inte personbikostnader. Om du är osäker på timlönen skall du kontakta ekonomiavdelningen.
Undervisande, heltid = (månadslön*12)/1600
Adminstrativ heltid = månadslön/153
</t>
        </r>
      </text>
    </comment>
    <comment ref="B25" authorId="1" shapeId="0" xr:uid="{00000000-0006-0000-0000-000003000000}">
      <text>
        <r>
          <rPr>
            <b/>
            <sz val="9"/>
            <color indexed="81"/>
            <rFont val="Tahoma"/>
            <family val="2"/>
          </rPr>
          <t>Michael von Boguslawski:</t>
        </r>
        <r>
          <rPr>
            <sz val="9"/>
            <color indexed="81"/>
            <rFont val="Tahoma"/>
            <family val="2"/>
          </rPr>
          <t xml:space="preserve">
Skriv in organisationens lönebikostnadsprocent i decimalform. KONTAKTA EKONOMIAVDELNINGEN OM DU ÄR OSÄKER GÄLLANDE PROCENTEN</t>
        </r>
      </text>
    </comment>
    <comment ref="A36" authorId="0" shapeId="0" xr:uid="{00000000-0006-0000-0000-000004000000}">
      <text>
        <r>
          <rPr>
            <b/>
            <sz val="9"/>
            <color indexed="81"/>
            <rFont val="Tahoma"/>
            <family val="2"/>
          </rPr>
          <t>Johan Lund:</t>
        </r>
        <r>
          <rPr>
            <sz val="9"/>
            <color indexed="81"/>
            <rFont val="Tahoma"/>
            <family val="2"/>
          </rPr>
          <t xml:space="preserve">
Köp av tjänster från företag som fakturerar Arcada.</t>
        </r>
      </text>
    </comment>
  </commentList>
</comments>
</file>

<file path=xl/sharedStrings.xml><?xml version="1.0" encoding="utf-8"?>
<sst xmlns="http://schemas.openxmlformats.org/spreadsheetml/2006/main" count="69" uniqueCount="56">
  <si>
    <t>AUTO</t>
  </si>
  <si>
    <t>h tot</t>
  </si>
  <si>
    <t>€/h</t>
  </si>
  <si>
    <t>Lindstedt</t>
  </si>
  <si>
    <t>TUF</t>
  </si>
  <si>
    <t>€</t>
  </si>
  <si>
    <t>Application to:</t>
  </si>
  <si>
    <t>Name of  the project:</t>
  </si>
  <si>
    <t>Project  lead:</t>
  </si>
  <si>
    <t>Applied Amount</t>
  </si>
  <si>
    <t>Project time table</t>
  </si>
  <si>
    <t>Number of months:</t>
  </si>
  <si>
    <t>Start date</t>
  </si>
  <si>
    <t>End date</t>
  </si>
  <si>
    <t>The budget can/should be modified according to the cost structure of your own project by adding/removing lines, items, personnel etc. PLEASE READ THE COMMENTS IN CELLS WITH A "RED CORNER" by pointing at the cell. NOTE! Contact the economy department for the correct amounts for salaries and additional costs (e.g. vacations) Notify the economy department and the funding foundation concerning changes in the projects staff or budget.</t>
  </si>
  <si>
    <t>Personnel Costs</t>
  </si>
  <si>
    <t>Name/position</t>
  </si>
  <si>
    <t>Total</t>
  </si>
  <si>
    <t>Per term</t>
  </si>
  <si>
    <t>h/term</t>
  </si>
  <si>
    <t>Salary Costs</t>
  </si>
  <si>
    <t>Sum salaries</t>
  </si>
  <si>
    <t>Compulsory soc. Costs</t>
  </si>
  <si>
    <t>Sum, Personnel Costs</t>
  </si>
  <si>
    <t>Material and Equipment</t>
  </si>
  <si>
    <t>Sum</t>
  </si>
  <si>
    <t>Services</t>
  </si>
  <si>
    <t>Travelling and conferences</t>
  </si>
  <si>
    <t>Total Costs</t>
  </si>
  <si>
    <t>Administration costs (25% of total costs)</t>
  </si>
  <si>
    <t>GRAND TOTAL</t>
  </si>
  <si>
    <t>FINANCING</t>
  </si>
  <si>
    <t>Other</t>
  </si>
  <si>
    <t>Own financing</t>
  </si>
  <si>
    <t>TOTAL FINANCING</t>
  </si>
  <si>
    <t>TUF/LINDSTEDT</t>
  </si>
  <si>
    <t>autumn
2025</t>
  </si>
  <si>
    <t>spring
2026</t>
  </si>
  <si>
    <t>autumn
2026</t>
  </si>
  <si>
    <t>PROJECT COST &amp; FINANCING BUDGET                 TUF</t>
  </si>
  <si>
    <t>✔</t>
  </si>
  <si>
    <t>Dr. Niraj Dayama</t>
  </si>
  <si>
    <t>Project Leader / Coordinator</t>
  </si>
  <si>
    <t>Researcher #3 / Masters' student</t>
  </si>
  <si>
    <t>Data-Driven Insights in shaping Market-Entry Decisions and Entrepreneurial Strategies</t>
  </si>
  <si>
    <t>31.12.2026</t>
  </si>
  <si>
    <t>Business Analytics software</t>
  </si>
  <si>
    <t>Payment for access to case studies</t>
  </si>
  <si>
    <t>External SME</t>
  </si>
  <si>
    <t>Conference within Europe</t>
  </si>
  <si>
    <t>Conference outside Europe</t>
  </si>
  <si>
    <t>Research head / Mentor</t>
  </si>
  <si>
    <t>Commercialization expert</t>
  </si>
  <si>
    <t>Ph.D. student</t>
  </si>
  <si>
    <t>21.08.2025</t>
  </si>
  <si>
    <t xml:space="preserve">We note that some of the researchers may work as contractors instead of Arcada employees.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</si>
</sst>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8" x14ac:knownFonts="1">
    <font>
      <sz val="10"/>
      <name val="Arial"/>
    </font>
    <font>
      <b/>
      <sz val="10"/>
      <name val="Arial"/>
      <family val="2"/>
    </font>
    <font>
      <sz val="10"/>
      <name val="Arial"/>
      <family val="2"/>
    </font>
    <font>
      <sz val="8"/>
      <name val="Arial"/>
      <family val="2"/>
    </font>
    <font>
      <b/>
      <sz val="11"/>
      <name val="Arial"/>
      <family val="2"/>
    </font>
    <font>
      <b/>
      <sz val="12"/>
      <name val="Arial"/>
      <family val="2"/>
    </font>
    <font>
      <b/>
      <i/>
      <sz val="11"/>
      <color rgb="FFFF0000"/>
      <name val="Arial"/>
      <family val="2"/>
    </font>
    <font>
      <i/>
      <sz val="10"/>
      <name val="Arial"/>
      <family val="2"/>
    </font>
    <font>
      <sz val="9"/>
      <color indexed="81"/>
      <name val="Tahoma"/>
      <family val="2"/>
    </font>
    <font>
      <b/>
      <sz val="9"/>
      <color indexed="81"/>
      <name val="Tahoma"/>
      <family val="2"/>
    </font>
    <font>
      <b/>
      <i/>
      <sz val="10"/>
      <name val="Arial"/>
      <family val="2"/>
    </font>
    <font>
      <sz val="10"/>
      <color rgb="FFFF0000"/>
      <name val="Arial"/>
      <family val="2"/>
    </font>
    <font>
      <sz val="11"/>
      <name val="Arial"/>
      <family val="2"/>
    </font>
    <font>
      <sz val="10"/>
      <name val="Arial"/>
      <family val="2"/>
    </font>
    <font>
      <b/>
      <sz val="10"/>
      <color rgb="FFFF0000"/>
      <name val="Arial"/>
      <family val="2"/>
    </font>
    <font>
      <b/>
      <strike/>
      <sz val="11"/>
      <name val="Arial"/>
      <family val="2"/>
    </font>
    <font>
      <sz val="10"/>
      <color rgb="FF00B050"/>
      <name val="Arial"/>
      <family val="2"/>
    </font>
    <font>
      <b/>
      <sz val="12"/>
      <color rgb="FFFF0000"/>
      <name val="Arial"/>
      <family val="2"/>
    </font>
  </fonts>
  <fills count="10">
    <fill>
      <patternFill patternType="none"/>
    </fill>
    <fill>
      <patternFill patternType="gray125"/>
    </fill>
    <fill>
      <patternFill patternType="solid">
        <fgColor indexed="43"/>
        <bgColor indexed="64"/>
      </patternFill>
    </fill>
    <fill>
      <patternFill patternType="solid">
        <fgColor theme="9" tint="0.79998168889431442"/>
        <bgColor indexed="64"/>
      </patternFill>
    </fill>
    <fill>
      <patternFill patternType="solid">
        <fgColor rgb="FFFFFF99"/>
        <bgColor indexed="64"/>
      </patternFill>
    </fill>
    <fill>
      <patternFill patternType="solid">
        <fgColor theme="6" tint="0.59999389629810485"/>
        <bgColor indexed="64"/>
      </patternFill>
    </fill>
    <fill>
      <patternFill patternType="solid">
        <fgColor rgb="FFEBDCDB"/>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B050"/>
        <bgColor indexed="64"/>
      </patternFill>
    </fill>
  </fills>
  <borders count="21">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s>
  <cellStyleXfs count="2">
    <xf numFmtId="0" fontId="0" fillId="0" borderId="0"/>
    <xf numFmtId="9" fontId="13" fillId="0" borderId="0" applyFont="0" applyFill="0" applyBorder="0" applyAlignment="0" applyProtection="0"/>
  </cellStyleXfs>
  <cellXfs count="112">
    <xf numFmtId="0" fontId="0" fillId="0" borderId="0" xfId="0"/>
    <xf numFmtId="0" fontId="1" fillId="0" borderId="0" xfId="0" applyFont="1"/>
    <xf numFmtId="4" fontId="0" fillId="0" borderId="0" xfId="0" applyNumberFormat="1"/>
    <xf numFmtId="4" fontId="1" fillId="0" borderId="0" xfId="0" applyNumberFormat="1" applyFont="1"/>
    <xf numFmtId="0" fontId="2" fillId="0" borderId="0" xfId="0" applyFont="1"/>
    <xf numFmtId="4" fontId="2" fillId="0" borderId="0" xfId="0" applyNumberFormat="1" applyFont="1"/>
    <xf numFmtId="0" fontId="2" fillId="0" borderId="0" xfId="0" applyFont="1" applyAlignment="1">
      <alignment horizontal="right"/>
    </xf>
    <xf numFmtId="0" fontId="2" fillId="0" borderId="1" xfId="0" applyFont="1" applyBorder="1"/>
    <xf numFmtId="0" fontId="1" fillId="2" borderId="0" xfId="0" applyFont="1" applyFill="1"/>
    <xf numFmtId="0" fontId="4" fillId="0" borderId="0" xfId="0" applyFont="1" applyAlignment="1">
      <alignment horizontal="right"/>
    </xf>
    <xf numFmtId="0" fontId="1" fillId="4" borderId="0" xfId="0" applyFont="1" applyFill="1"/>
    <xf numFmtId="0" fontId="4" fillId="4" borderId="0" xfId="0" applyFont="1" applyFill="1"/>
    <xf numFmtId="0" fontId="4" fillId="5" borderId="0" xfId="0" applyFont="1" applyFill="1"/>
    <xf numFmtId="0" fontId="1" fillId="5" borderId="0" xfId="0" applyFont="1" applyFill="1"/>
    <xf numFmtId="0" fontId="4" fillId="0" borderId="1" xfId="0" applyFont="1" applyBorder="1"/>
    <xf numFmtId="0" fontId="5" fillId="0" borderId="0" xfId="0" applyFont="1" applyAlignment="1">
      <alignment horizontal="left"/>
    </xf>
    <xf numFmtId="4" fontId="1" fillId="4" borderId="0" xfId="0" applyNumberFormat="1" applyFont="1" applyFill="1" applyAlignment="1">
      <alignment horizontal="right"/>
    </xf>
    <xf numFmtId="4" fontId="2" fillId="0" borderId="0" xfId="0" applyNumberFormat="1" applyFont="1" applyAlignment="1">
      <alignment horizontal="right"/>
    </xf>
    <xf numFmtId="0" fontId="7" fillId="0" borderId="17" xfId="0" applyFont="1" applyBorder="1" applyAlignment="1">
      <alignment horizontal="right"/>
    </xf>
    <xf numFmtId="0" fontId="7" fillId="0" borderId="17" xfId="0" applyFont="1" applyBorder="1"/>
    <xf numFmtId="0" fontId="7" fillId="0" borderId="14" xfId="0" applyFont="1" applyBorder="1"/>
    <xf numFmtId="0" fontId="4" fillId="0" borderId="0" xfId="0" applyFont="1" applyAlignment="1">
      <alignment horizontal="left"/>
    </xf>
    <xf numFmtId="0" fontId="4" fillId="0" borderId="0" xfId="0" applyFont="1" applyAlignment="1">
      <alignment horizontal="center"/>
    </xf>
    <xf numFmtId="0" fontId="12" fillId="0" borderId="0" xfId="0" applyFont="1"/>
    <xf numFmtId="0" fontId="4" fillId="0" borderId="0" xfId="0" applyFont="1"/>
    <xf numFmtId="4" fontId="4" fillId="0" borderId="0" xfId="0" applyNumberFormat="1" applyFont="1"/>
    <xf numFmtId="14" fontId="4" fillId="0" borderId="0" xfId="0" applyNumberFormat="1" applyFont="1"/>
    <xf numFmtId="4" fontId="12" fillId="0" borderId="0" xfId="0" applyNumberFormat="1" applyFont="1"/>
    <xf numFmtId="3" fontId="4" fillId="0" borderId="0" xfId="0" applyNumberFormat="1" applyFont="1"/>
    <xf numFmtId="14" fontId="4" fillId="0" borderId="0" xfId="0" applyNumberFormat="1" applyFont="1" applyAlignment="1">
      <alignment horizontal="right"/>
    </xf>
    <xf numFmtId="3" fontId="4" fillId="0" borderId="0" xfId="0" applyNumberFormat="1" applyFont="1" applyAlignment="1">
      <alignment horizontal="right"/>
    </xf>
    <xf numFmtId="0" fontId="7" fillId="0" borderId="7" xfId="0" applyFont="1" applyBorder="1"/>
    <xf numFmtId="0" fontId="7" fillId="0" borderId="18" xfId="0" applyFont="1" applyBorder="1" applyAlignment="1">
      <alignment horizontal="center"/>
    </xf>
    <xf numFmtId="0" fontId="2" fillId="0" borderId="19" xfId="0" applyFont="1" applyBorder="1"/>
    <xf numFmtId="0" fontId="14" fillId="0" borderId="0" xfId="0" applyFont="1" applyAlignment="1">
      <alignment horizontal="center"/>
    </xf>
    <xf numFmtId="0" fontId="10" fillId="0" borderId="17" xfId="0" applyFont="1" applyBorder="1" applyAlignment="1">
      <alignment horizontal="center"/>
    </xf>
    <xf numFmtId="0" fontId="1" fillId="0" borderId="0" xfId="0" applyFont="1" applyAlignment="1">
      <alignment horizontal="center"/>
    </xf>
    <xf numFmtId="0" fontId="2" fillId="6" borderId="0" xfId="0" applyFont="1" applyFill="1" applyProtection="1">
      <protection locked="0"/>
    </xf>
    <xf numFmtId="0" fontId="2" fillId="6" borderId="17" xfId="0" applyFont="1" applyFill="1" applyBorder="1" applyAlignment="1" applyProtection="1">
      <alignment horizontal="center"/>
      <protection locked="0"/>
    </xf>
    <xf numFmtId="0" fontId="2" fillId="6" borderId="1" xfId="0" applyFont="1" applyFill="1" applyBorder="1" applyProtection="1">
      <protection locked="0"/>
    </xf>
    <xf numFmtId="0" fontId="7" fillId="3" borderId="8" xfId="0" applyFont="1" applyFill="1" applyBorder="1" applyProtection="1">
      <protection locked="0"/>
    </xf>
    <xf numFmtId="0" fontId="2" fillId="7" borderId="0" xfId="0" applyFont="1" applyFill="1" applyProtection="1">
      <protection locked="0"/>
    </xf>
    <xf numFmtId="0" fontId="2" fillId="0" borderId="0" xfId="0" quotePrefix="1" applyFont="1"/>
    <xf numFmtId="4" fontId="14" fillId="0" borderId="0" xfId="0" applyNumberFormat="1" applyFont="1" applyAlignment="1">
      <alignment horizontal="center"/>
    </xf>
    <xf numFmtId="1" fontId="12" fillId="6" borderId="3" xfId="0" applyNumberFormat="1" applyFont="1" applyFill="1" applyBorder="1" applyAlignment="1" applyProtection="1">
      <alignment horizontal="center"/>
      <protection locked="0"/>
    </xf>
    <xf numFmtId="9" fontId="2" fillId="7" borderId="3" xfId="1" applyFont="1" applyFill="1" applyBorder="1" applyProtection="1">
      <protection locked="0"/>
    </xf>
    <xf numFmtId="9" fontId="2" fillId="0" borderId="1" xfId="1" applyFont="1" applyBorder="1"/>
    <xf numFmtId="9" fontId="14" fillId="0" borderId="1" xfId="0" applyNumberFormat="1" applyFont="1" applyBorder="1" applyAlignment="1">
      <alignment horizontal="center"/>
    </xf>
    <xf numFmtId="9" fontId="2" fillId="0" borderId="0" xfId="0" applyNumberFormat="1" applyFont="1"/>
    <xf numFmtId="0" fontId="1" fillId="4" borderId="1" xfId="0" applyFont="1" applyFill="1" applyBorder="1"/>
    <xf numFmtId="0" fontId="2" fillId="4" borderId="1" xfId="0" applyFont="1" applyFill="1" applyBorder="1"/>
    <xf numFmtId="0" fontId="1" fillId="7" borderId="0" xfId="0" applyFont="1" applyFill="1" applyProtection="1">
      <protection locked="0"/>
    </xf>
    <xf numFmtId="0" fontId="2" fillId="7" borderId="1" xfId="0" applyFont="1" applyFill="1" applyBorder="1" applyProtection="1">
      <protection locked="0"/>
    </xf>
    <xf numFmtId="0" fontId="1" fillId="0" borderId="17" xfId="0" applyFont="1" applyBorder="1" applyAlignment="1">
      <alignment horizontal="center" wrapText="1"/>
    </xf>
    <xf numFmtId="3" fontId="7" fillId="0" borderId="0" xfId="0" applyNumberFormat="1" applyFont="1"/>
    <xf numFmtId="3" fontId="2" fillId="0" borderId="0" xfId="0" applyNumberFormat="1" applyFont="1"/>
    <xf numFmtId="3" fontId="7" fillId="0" borderId="7" xfId="0" applyNumberFormat="1" applyFont="1" applyBorder="1"/>
    <xf numFmtId="3" fontId="7" fillId="0" borderId="1" xfId="0" applyNumberFormat="1" applyFont="1" applyBorder="1"/>
    <xf numFmtId="3" fontId="7" fillId="0" borderId="14" xfId="0" applyNumberFormat="1" applyFont="1" applyBorder="1"/>
    <xf numFmtId="3" fontId="7" fillId="0" borderId="8" xfId="0" applyNumberFormat="1" applyFont="1" applyBorder="1"/>
    <xf numFmtId="3" fontId="7" fillId="0" borderId="9" xfId="0" applyNumberFormat="1" applyFont="1" applyBorder="1"/>
    <xf numFmtId="3" fontId="7" fillId="0" borderId="16" xfId="0" applyNumberFormat="1" applyFont="1" applyBorder="1"/>
    <xf numFmtId="3" fontId="7" fillId="0" borderId="10" xfId="0" applyNumberFormat="1" applyFont="1" applyBorder="1"/>
    <xf numFmtId="3" fontId="1" fillId="0" borderId="0" xfId="0" applyNumberFormat="1" applyFont="1"/>
    <xf numFmtId="3" fontId="7" fillId="0" borderId="15" xfId="0" applyNumberFormat="1" applyFont="1" applyBorder="1"/>
    <xf numFmtId="3" fontId="10" fillId="2" borderId="2" xfId="0" applyNumberFormat="1" applyFont="1" applyFill="1" applyBorder="1"/>
    <xf numFmtId="3" fontId="10" fillId="4" borderId="2" xfId="0" applyNumberFormat="1" applyFont="1" applyFill="1" applyBorder="1"/>
    <xf numFmtId="3" fontId="10" fillId="4" borderId="13" xfId="0" applyNumberFormat="1" applyFont="1" applyFill="1" applyBorder="1"/>
    <xf numFmtId="3" fontId="10" fillId="4" borderId="12" xfId="0" applyNumberFormat="1" applyFont="1" applyFill="1" applyBorder="1"/>
    <xf numFmtId="3" fontId="7" fillId="4" borderId="2" xfId="0" applyNumberFormat="1" applyFont="1" applyFill="1" applyBorder="1"/>
    <xf numFmtId="3" fontId="10" fillId="0" borderId="0" xfId="0" applyNumberFormat="1" applyFont="1"/>
    <xf numFmtId="3" fontId="10" fillId="2" borderId="3" xfId="0" applyNumberFormat="1" applyFont="1" applyFill="1" applyBorder="1"/>
    <xf numFmtId="3" fontId="7" fillId="4" borderId="11" xfId="0" applyNumberFormat="1" applyFont="1" applyFill="1" applyBorder="1"/>
    <xf numFmtId="3" fontId="10" fillId="0" borderId="3" xfId="0" applyNumberFormat="1" applyFont="1" applyBorder="1"/>
    <xf numFmtId="3" fontId="7" fillId="0" borderId="3" xfId="0" applyNumberFormat="1" applyFont="1" applyBorder="1"/>
    <xf numFmtId="3" fontId="1" fillId="4" borderId="1" xfId="0" applyNumberFormat="1" applyFont="1" applyFill="1" applyBorder="1"/>
    <xf numFmtId="3" fontId="1" fillId="0" borderId="1" xfId="0" applyNumberFormat="1" applyFont="1" applyBorder="1"/>
    <xf numFmtId="3" fontId="1" fillId="5" borderId="0" xfId="0" applyNumberFormat="1" applyFont="1" applyFill="1"/>
    <xf numFmtId="3" fontId="10" fillId="0" borderId="20" xfId="0" applyNumberFormat="1" applyFont="1" applyBorder="1"/>
    <xf numFmtId="3" fontId="2" fillId="6" borderId="0" xfId="0" applyNumberFormat="1" applyFont="1" applyFill="1" applyProtection="1">
      <protection locked="0"/>
    </xf>
    <xf numFmtId="3" fontId="2" fillId="0" borderId="0" xfId="0" applyNumberFormat="1" applyFont="1" applyProtection="1">
      <protection locked="0"/>
    </xf>
    <xf numFmtId="3" fontId="2" fillId="7" borderId="0" xfId="0" applyNumberFormat="1" applyFont="1" applyFill="1" applyProtection="1">
      <protection locked="0"/>
    </xf>
    <xf numFmtId="3" fontId="11" fillId="7" borderId="0" xfId="0" applyNumberFormat="1" applyFont="1" applyFill="1" applyProtection="1">
      <protection locked="0"/>
    </xf>
    <xf numFmtId="3" fontId="0" fillId="0" borderId="0" xfId="0" applyNumberFormat="1"/>
    <xf numFmtId="0" fontId="2" fillId="6" borderId="0" xfId="0" applyFont="1" applyFill="1" applyAlignment="1" applyProtection="1">
      <alignment wrapText="1"/>
      <protection locked="0"/>
    </xf>
    <xf numFmtId="0" fontId="2" fillId="6" borderId="0" xfId="0" applyFont="1" applyFill="1" applyAlignment="1" applyProtection="1">
      <alignment horizontal="left" wrapText="1"/>
      <protection locked="0"/>
    </xf>
    <xf numFmtId="0" fontId="2" fillId="7" borderId="0" xfId="0" applyFont="1" applyFill="1" applyAlignment="1" applyProtection="1">
      <alignment wrapText="1"/>
      <protection locked="0"/>
    </xf>
    <xf numFmtId="0" fontId="16" fillId="0" borderId="0" xfId="0" applyFont="1" applyAlignment="1">
      <alignment horizontal="center"/>
    </xf>
    <xf numFmtId="0" fontId="0" fillId="8" borderId="0" xfId="0" applyFill="1"/>
    <xf numFmtId="0" fontId="2" fillId="8" borderId="0" xfId="0" applyFont="1" applyFill="1"/>
    <xf numFmtId="0" fontId="2" fillId="8" borderId="0" xfId="0" applyFont="1" applyFill="1" applyProtection="1">
      <protection locked="0"/>
    </xf>
    <xf numFmtId="0" fontId="15" fillId="0" borderId="0" xfId="0" applyFont="1"/>
    <xf numFmtId="0" fontId="4" fillId="9" borderId="0" xfId="0" applyFont="1" applyFill="1" applyAlignment="1">
      <alignment horizontal="left"/>
    </xf>
    <xf numFmtId="0" fontId="12" fillId="9" borderId="0" xfId="0" applyFont="1" applyFill="1"/>
    <xf numFmtId="0" fontId="2" fillId="0" borderId="0" xfId="0" applyFont="1" applyAlignment="1">
      <alignment horizontal="center"/>
    </xf>
    <xf numFmtId="0" fontId="5" fillId="0" borderId="0" xfId="0" applyFont="1" applyAlignment="1">
      <alignment horizontal="left"/>
    </xf>
    <xf numFmtId="0" fontId="1" fillId="0" borderId="0" xfId="0" applyFont="1" applyAlignment="1">
      <alignment horizontal="center"/>
    </xf>
    <xf numFmtId="0" fontId="1" fillId="0" borderId="7" xfId="0" applyFont="1" applyBorder="1" applyAlignment="1">
      <alignment horizontal="center"/>
    </xf>
    <xf numFmtId="0" fontId="1" fillId="4" borderId="0" xfId="0" applyFont="1" applyFill="1" applyAlignment="1">
      <alignment horizontal="center"/>
    </xf>
    <xf numFmtId="0" fontId="6" fillId="0" borderId="0" xfId="0" applyFont="1" applyAlignment="1">
      <alignment horizontal="left" vertical="top" wrapText="1"/>
    </xf>
    <xf numFmtId="0" fontId="12" fillId="6" borderId="4" xfId="0" applyFont="1" applyFill="1" applyBorder="1" applyAlignment="1" applyProtection="1">
      <alignment horizontal="left" wrapText="1"/>
      <protection locked="0"/>
    </xf>
    <xf numFmtId="0" fontId="12" fillId="6" borderId="5" xfId="0" applyFont="1" applyFill="1" applyBorder="1" applyAlignment="1" applyProtection="1">
      <alignment horizontal="left" wrapText="1"/>
      <protection locked="0"/>
    </xf>
    <xf numFmtId="0" fontId="12" fillId="6" borderId="6" xfId="0" applyFont="1" applyFill="1" applyBorder="1" applyAlignment="1" applyProtection="1">
      <alignment horizontal="left" wrapText="1"/>
      <protection locked="0"/>
    </xf>
    <xf numFmtId="0" fontId="12" fillId="6" borderId="4" xfId="0" applyFont="1" applyFill="1" applyBorder="1" applyAlignment="1" applyProtection="1">
      <alignment horizontal="left"/>
      <protection locked="0"/>
    </xf>
    <xf numFmtId="0" fontId="12" fillId="6" borderId="5" xfId="0" applyFont="1" applyFill="1" applyBorder="1" applyAlignment="1" applyProtection="1">
      <alignment horizontal="left"/>
      <protection locked="0"/>
    </xf>
    <xf numFmtId="0" fontId="12" fillId="6" borderId="6" xfId="0" applyFont="1" applyFill="1" applyBorder="1" applyAlignment="1" applyProtection="1">
      <alignment horizontal="left"/>
      <protection locked="0"/>
    </xf>
    <xf numFmtId="3" fontId="12" fillId="6" borderId="4" xfId="0" applyNumberFormat="1" applyFont="1" applyFill="1" applyBorder="1" applyAlignment="1" applyProtection="1">
      <alignment horizontal="center"/>
      <protection locked="0"/>
    </xf>
    <xf numFmtId="0" fontId="12" fillId="6" borderId="5" xfId="0" applyFont="1" applyFill="1" applyBorder="1" applyAlignment="1" applyProtection="1">
      <alignment horizontal="center"/>
      <protection locked="0"/>
    </xf>
    <xf numFmtId="0" fontId="12" fillId="6" borderId="6" xfId="0" applyFont="1" applyFill="1" applyBorder="1" applyAlignment="1" applyProtection="1">
      <alignment horizontal="center"/>
      <protection locked="0"/>
    </xf>
    <xf numFmtId="164" fontId="12" fillId="6" borderId="10" xfId="0" applyNumberFormat="1" applyFont="1" applyFill="1" applyBorder="1" applyAlignment="1" applyProtection="1">
      <alignment horizontal="center"/>
      <protection locked="0"/>
    </xf>
    <xf numFmtId="164" fontId="12" fillId="6" borderId="9" xfId="0" applyNumberFormat="1" applyFont="1" applyFill="1" applyBorder="1" applyAlignment="1" applyProtection="1">
      <alignment horizontal="center"/>
      <protection locked="0"/>
    </xf>
    <xf numFmtId="0" fontId="17" fillId="0" borderId="0" xfId="0" applyFont="1"/>
  </cellXfs>
  <cellStyles count="2">
    <cellStyle name="Normal" xfId="0" builtinId="0"/>
    <cellStyle name="Percent" xfId="1" builtinId="5"/>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8"/>
  <sheetViews>
    <sheetView tabSelected="1" topLeftCell="A10" zoomScaleNormal="100" workbookViewId="0">
      <selection activeCell="I28" sqref="I28"/>
    </sheetView>
  </sheetViews>
  <sheetFormatPr defaultRowHeight="13.2" x14ac:dyDescent="0.25"/>
  <cols>
    <col min="1" max="1" width="39.77734375" customWidth="1"/>
    <col min="2" max="2" width="8" customWidth="1"/>
    <col min="3" max="3" width="7.77734375" customWidth="1"/>
    <col min="4" max="4" width="8" customWidth="1"/>
    <col min="5" max="5" width="6.77734375" customWidth="1"/>
    <col min="6" max="6" width="7.5546875" customWidth="1"/>
    <col min="7" max="7" width="14.21875" style="2" customWidth="1"/>
    <col min="8" max="8" width="6.21875" style="2" bestFit="1" customWidth="1"/>
    <col min="9" max="11" width="10.44140625" customWidth="1"/>
    <col min="12" max="12" width="4.21875" style="34" customWidth="1"/>
  </cols>
  <sheetData>
    <row r="1" spans="1:12" ht="15.6" x14ac:dyDescent="0.3">
      <c r="A1" s="95" t="s">
        <v>39</v>
      </c>
      <c r="B1" s="95"/>
      <c r="C1" s="95"/>
      <c r="D1" s="95"/>
      <c r="E1" s="95"/>
      <c r="F1" s="95"/>
      <c r="G1" s="95"/>
    </row>
    <row r="2" spans="1:12" ht="15.6" x14ac:dyDescent="0.3">
      <c r="A2" s="15"/>
      <c r="B2" s="15"/>
      <c r="C2" s="15"/>
      <c r="D2" s="15"/>
      <c r="E2" s="15"/>
      <c r="F2" s="15"/>
      <c r="G2" s="15"/>
    </row>
    <row r="3" spans="1:12" ht="13.8" x14ac:dyDescent="0.25">
      <c r="A3" s="9" t="s">
        <v>6</v>
      </c>
      <c r="B3" s="9"/>
      <c r="C3" s="87" t="s">
        <v>40</v>
      </c>
      <c r="D3" s="92" t="s">
        <v>3</v>
      </c>
      <c r="E3" s="93"/>
      <c r="G3" s="91" t="s">
        <v>4</v>
      </c>
      <c r="H3" s="23"/>
      <c r="I3" s="23"/>
      <c r="J3" s="23"/>
      <c r="K3" s="23"/>
    </row>
    <row r="4" spans="1:12" ht="29.25" customHeight="1" x14ac:dyDescent="0.25">
      <c r="A4" s="9" t="s">
        <v>7</v>
      </c>
      <c r="B4" s="9"/>
      <c r="C4" s="100" t="s">
        <v>44</v>
      </c>
      <c r="D4" s="101"/>
      <c r="E4" s="101"/>
      <c r="F4" s="101"/>
      <c r="G4" s="101"/>
      <c r="H4" s="101"/>
      <c r="I4" s="101"/>
      <c r="J4" s="101"/>
      <c r="K4" s="102"/>
    </row>
    <row r="5" spans="1:12" ht="13.8" x14ac:dyDescent="0.25">
      <c r="A5" s="9" t="s">
        <v>8</v>
      </c>
      <c r="B5" s="9"/>
      <c r="C5" s="103" t="s">
        <v>41</v>
      </c>
      <c r="D5" s="104"/>
      <c r="E5" s="104"/>
      <c r="F5" s="104"/>
      <c r="G5" s="104"/>
      <c r="H5" s="104"/>
      <c r="I5" s="104"/>
      <c r="J5" s="104"/>
      <c r="K5" s="105"/>
    </row>
    <row r="6" spans="1:12" ht="13.8" x14ac:dyDescent="0.25">
      <c r="A6" s="9" t="s">
        <v>9</v>
      </c>
      <c r="B6" s="9"/>
      <c r="C6" s="106">
        <f>G57</f>
        <v>69784.359375</v>
      </c>
      <c r="D6" s="107"/>
      <c r="E6" s="108"/>
      <c r="F6" s="25" t="s">
        <v>5</v>
      </c>
      <c r="G6" s="25"/>
      <c r="H6" s="25"/>
      <c r="I6" s="25"/>
      <c r="J6" s="25"/>
      <c r="K6" s="25"/>
    </row>
    <row r="7" spans="1:12" ht="13.8" x14ac:dyDescent="0.25">
      <c r="A7" s="9"/>
      <c r="B7" s="9"/>
      <c r="C7" s="22"/>
      <c r="D7" s="22"/>
      <c r="E7" s="22"/>
      <c r="F7" s="25"/>
      <c r="G7" s="25"/>
      <c r="H7" s="25"/>
      <c r="I7" s="25"/>
      <c r="J7" s="25"/>
      <c r="K7" s="25"/>
    </row>
    <row r="8" spans="1:12" ht="13.8" x14ac:dyDescent="0.25">
      <c r="A8" s="9" t="s">
        <v>10</v>
      </c>
      <c r="B8" s="9"/>
      <c r="C8" s="21" t="s">
        <v>11</v>
      </c>
      <c r="D8" s="9"/>
      <c r="E8" s="26"/>
      <c r="F8" s="44">
        <v>17</v>
      </c>
      <c r="G8" s="29" t="s">
        <v>12</v>
      </c>
      <c r="H8" s="109" t="s">
        <v>54</v>
      </c>
      <c r="I8" s="110"/>
      <c r="J8" s="26"/>
      <c r="K8" s="26"/>
    </row>
    <row r="9" spans="1:12" ht="15" customHeight="1" x14ac:dyDescent="0.25">
      <c r="A9" s="9"/>
      <c r="B9" s="9"/>
      <c r="C9" s="9"/>
      <c r="D9" s="9"/>
      <c r="E9" s="28"/>
      <c r="F9" s="28"/>
      <c r="G9" s="30" t="s">
        <v>13</v>
      </c>
      <c r="H9" s="109" t="s">
        <v>45</v>
      </c>
      <c r="I9" s="110"/>
      <c r="J9" s="27"/>
      <c r="K9" s="27"/>
    </row>
    <row r="10" spans="1:12" ht="62.55" customHeight="1" x14ac:dyDescent="0.25">
      <c r="A10" s="99" t="s">
        <v>14</v>
      </c>
      <c r="B10" s="99"/>
      <c r="C10" s="99"/>
      <c r="D10" s="99"/>
      <c r="E10" s="99"/>
      <c r="F10" s="99"/>
      <c r="G10" s="99"/>
      <c r="H10" s="99"/>
      <c r="I10" s="99"/>
      <c r="J10" s="99"/>
      <c r="K10" s="99"/>
    </row>
    <row r="11" spans="1:12" s="1" customFormat="1" ht="13.8" x14ac:dyDescent="0.25">
      <c r="A11" s="10" t="s">
        <v>15</v>
      </c>
      <c r="B11" s="10"/>
      <c r="C11" s="10"/>
      <c r="D11" s="10"/>
      <c r="E11" s="11"/>
      <c r="F11" s="11"/>
      <c r="G11" s="16" t="s">
        <v>17</v>
      </c>
      <c r="H11" s="3"/>
      <c r="I11" s="98" t="s">
        <v>18</v>
      </c>
      <c r="J11" s="98"/>
      <c r="K11" s="98"/>
      <c r="L11" s="34"/>
    </row>
    <row r="12" spans="1:12" s="1" customFormat="1" x14ac:dyDescent="0.25">
      <c r="B12" s="96" t="s">
        <v>19</v>
      </c>
      <c r="C12" s="96"/>
      <c r="D12" s="97"/>
      <c r="E12" s="35" t="s">
        <v>1</v>
      </c>
      <c r="F12" s="36" t="s">
        <v>2</v>
      </c>
      <c r="G12" s="17" t="s">
        <v>20</v>
      </c>
      <c r="H12" s="3"/>
      <c r="I12" s="94"/>
      <c r="J12" s="94"/>
      <c r="L12" s="34"/>
    </row>
    <row r="13" spans="1:12" s="4" customFormat="1" ht="28.05" customHeight="1" x14ac:dyDescent="0.25">
      <c r="A13" s="1" t="s">
        <v>16</v>
      </c>
      <c r="B13" s="53" t="s">
        <v>36</v>
      </c>
      <c r="C13" s="53" t="s">
        <v>37</v>
      </c>
      <c r="D13" s="53" t="s">
        <v>38</v>
      </c>
      <c r="E13" s="18"/>
      <c r="F13" s="6"/>
      <c r="H13" s="5"/>
      <c r="I13" s="53" t="s">
        <v>36</v>
      </c>
      <c r="J13" s="53" t="s">
        <v>37</v>
      </c>
      <c r="K13" s="53" t="s">
        <v>38</v>
      </c>
      <c r="L13" s="43"/>
    </row>
    <row r="14" spans="1:12" s="4" customFormat="1" x14ac:dyDescent="0.25">
      <c r="A14" s="88" t="s">
        <v>42</v>
      </c>
      <c r="B14" s="38">
        <v>60</v>
      </c>
      <c r="C14" s="38">
        <v>60</v>
      </c>
      <c r="D14" s="38">
        <v>60</v>
      </c>
      <c r="E14" s="19">
        <f>SUM(B14:D14)</f>
        <v>180</v>
      </c>
      <c r="F14" s="37">
        <f>(5850*12/1600)</f>
        <v>43.875</v>
      </c>
      <c r="G14" s="54">
        <f t="shared" ref="G14:G23" si="0">+E14*F14</f>
        <v>7897.5</v>
      </c>
      <c r="H14" s="55"/>
      <c r="I14" s="56">
        <f>B14*$F14</f>
        <v>2632.5</v>
      </c>
      <c r="J14" s="56">
        <f t="shared" ref="J14:K14" si="1">C14*$F14</f>
        <v>2632.5</v>
      </c>
      <c r="K14" s="56">
        <f t="shared" si="1"/>
        <v>2632.5</v>
      </c>
      <c r="L14" s="34" t="str">
        <f t="shared" ref="L14:L24" si="2">IF(G14=SUM(I14:K14),"","!")</f>
        <v/>
      </c>
    </row>
    <row r="15" spans="1:12" s="4" customFormat="1" x14ac:dyDescent="0.25">
      <c r="A15" s="89" t="s">
        <v>51</v>
      </c>
      <c r="B15" s="38">
        <v>10</v>
      </c>
      <c r="C15" s="38">
        <v>5</v>
      </c>
      <c r="D15" s="38">
        <v>5</v>
      </c>
      <c r="E15" s="19">
        <f t="shared" ref="E15:E23" si="3">SUM(B15:D15)</f>
        <v>20</v>
      </c>
      <c r="F15" s="90">
        <v>60</v>
      </c>
      <c r="G15" s="54">
        <f t="shared" si="0"/>
        <v>1200</v>
      </c>
      <c r="H15" s="55"/>
      <c r="I15" s="56">
        <f t="shared" ref="I15:I23" si="4">B15*F15</f>
        <v>600</v>
      </c>
      <c r="J15" s="56">
        <f t="shared" ref="J15:J23" si="5">C15*$F15</f>
        <v>300</v>
      </c>
      <c r="K15" s="56">
        <f t="shared" ref="K15:K23" si="6">D15*$F15</f>
        <v>300</v>
      </c>
      <c r="L15" s="34" t="str">
        <f t="shared" si="2"/>
        <v/>
      </c>
    </row>
    <row r="16" spans="1:12" s="4" customFormat="1" x14ac:dyDescent="0.25">
      <c r="A16" s="89" t="s">
        <v>52</v>
      </c>
      <c r="B16" s="38">
        <v>25</v>
      </c>
      <c r="C16" s="38">
        <v>20</v>
      </c>
      <c r="D16" s="38">
        <v>20</v>
      </c>
      <c r="E16" s="19">
        <f t="shared" ref="E16" si="7">SUM(B16:D16)</f>
        <v>65</v>
      </c>
      <c r="F16" s="90">
        <v>40</v>
      </c>
      <c r="G16" s="54">
        <f t="shared" ref="G16" si="8">+E16*F16</f>
        <v>2600</v>
      </c>
      <c r="H16" s="55"/>
      <c r="I16" s="56">
        <f t="shared" ref="I16" si="9">B16*F16</f>
        <v>1000</v>
      </c>
      <c r="J16" s="56">
        <f t="shared" ref="J16" si="10">C16*$F16</f>
        <v>800</v>
      </c>
      <c r="K16" s="56">
        <f t="shared" ref="K16" si="11">D16*$F16</f>
        <v>800</v>
      </c>
      <c r="L16" s="34"/>
    </row>
    <row r="17" spans="1:15" s="4" customFormat="1" x14ac:dyDescent="0.25">
      <c r="A17" s="88" t="s">
        <v>43</v>
      </c>
      <c r="B17" s="38">
        <v>200</v>
      </c>
      <c r="C17" s="38">
        <v>200</v>
      </c>
      <c r="D17" s="38">
        <v>150</v>
      </c>
      <c r="E17" s="19">
        <f t="shared" si="3"/>
        <v>550</v>
      </c>
      <c r="F17" s="90">
        <v>28</v>
      </c>
      <c r="G17" s="54">
        <f t="shared" si="0"/>
        <v>15400</v>
      </c>
      <c r="H17" s="55"/>
      <c r="I17" s="56">
        <f t="shared" si="4"/>
        <v>5600</v>
      </c>
      <c r="J17" s="56">
        <f t="shared" si="5"/>
        <v>5600</v>
      </c>
      <c r="K17" s="56">
        <f t="shared" si="6"/>
        <v>4200</v>
      </c>
      <c r="L17" s="34" t="str">
        <f t="shared" si="2"/>
        <v/>
      </c>
    </row>
    <row r="18" spans="1:15" s="4" customFormat="1" x14ac:dyDescent="0.25">
      <c r="A18" s="89" t="s">
        <v>53</v>
      </c>
      <c r="B18" s="38">
        <v>125</v>
      </c>
      <c r="C18" s="38">
        <v>125</v>
      </c>
      <c r="D18" s="38">
        <v>125</v>
      </c>
      <c r="E18" s="19">
        <f t="shared" si="3"/>
        <v>375</v>
      </c>
      <c r="F18" s="90">
        <v>20</v>
      </c>
      <c r="G18" s="54">
        <f t="shared" si="0"/>
        <v>7500</v>
      </c>
      <c r="H18" s="55"/>
      <c r="I18" s="56">
        <f t="shared" si="4"/>
        <v>2500</v>
      </c>
      <c r="J18" s="56">
        <f t="shared" si="5"/>
        <v>2500</v>
      </c>
      <c r="K18" s="56">
        <f t="shared" si="6"/>
        <v>2500</v>
      </c>
      <c r="L18" s="34" t="str">
        <f t="shared" si="2"/>
        <v/>
      </c>
    </row>
    <row r="19" spans="1:15" s="4" customFormat="1" x14ac:dyDescent="0.25">
      <c r="A19" s="37"/>
      <c r="B19" s="38"/>
      <c r="C19" s="38"/>
      <c r="D19" s="38">
        <v>0</v>
      </c>
      <c r="E19" s="19">
        <f t="shared" si="3"/>
        <v>0</v>
      </c>
      <c r="F19" s="37"/>
      <c r="G19" s="54">
        <f t="shared" si="0"/>
        <v>0</v>
      </c>
      <c r="H19" s="55"/>
      <c r="I19" s="56">
        <f t="shared" si="4"/>
        <v>0</v>
      </c>
      <c r="J19" s="56">
        <f t="shared" si="5"/>
        <v>0</v>
      </c>
      <c r="K19" s="56">
        <f t="shared" si="6"/>
        <v>0</v>
      </c>
      <c r="L19" s="34" t="str">
        <f t="shared" si="2"/>
        <v/>
      </c>
    </row>
    <row r="20" spans="1:15" s="4" customFormat="1" x14ac:dyDescent="0.25">
      <c r="A20" s="37"/>
      <c r="B20" s="38"/>
      <c r="C20" s="38"/>
      <c r="D20" s="38">
        <v>0</v>
      </c>
      <c r="E20" s="19">
        <f t="shared" si="3"/>
        <v>0</v>
      </c>
      <c r="F20" s="37"/>
      <c r="G20" s="54">
        <f t="shared" si="0"/>
        <v>0</v>
      </c>
      <c r="H20" s="55"/>
      <c r="I20" s="56">
        <f t="shared" si="4"/>
        <v>0</v>
      </c>
      <c r="J20" s="56">
        <f t="shared" si="5"/>
        <v>0</v>
      </c>
      <c r="K20" s="56">
        <f t="shared" si="6"/>
        <v>0</v>
      </c>
      <c r="L20" s="34" t="str">
        <f t="shared" si="2"/>
        <v/>
      </c>
    </row>
    <row r="21" spans="1:15" s="4" customFormat="1" x14ac:dyDescent="0.25">
      <c r="A21" s="37"/>
      <c r="B21" s="38"/>
      <c r="C21" s="38"/>
      <c r="D21" s="38">
        <v>0</v>
      </c>
      <c r="E21" s="19">
        <f t="shared" si="3"/>
        <v>0</v>
      </c>
      <c r="F21" s="37"/>
      <c r="G21" s="54">
        <f t="shared" si="0"/>
        <v>0</v>
      </c>
      <c r="H21" s="55"/>
      <c r="I21" s="56">
        <f t="shared" si="4"/>
        <v>0</v>
      </c>
      <c r="J21" s="56">
        <f t="shared" si="5"/>
        <v>0</v>
      </c>
      <c r="K21" s="56">
        <f t="shared" si="6"/>
        <v>0</v>
      </c>
      <c r="L21" s="34" t="str">
        <f t="shared" si="2"/>
        <v/>
      </c>
    </row>
    <row r="22" spans="1:15" s="4" customFormat="1" x14ac:dyDescent="0.25">
      <c r="A22" s="37"/>
      <c r="B22" s="38"/>
      <c r="C22" s="38"/>
      <c r="D22" s="38">
        <v>0</v>
      </c>
      <c r="E22" s="19">
        <f t="shared" si="3"/>
        <v>0</v>
      </c>
      <c r="F22" s="37"/>
      <c r="G22" s="54">
        <f t="shared" si="0"/>
        <v>0</v>
      </c>
      <c r="H22" s="55"/>
      <c r="I22" s="56">
        <f t="shared" si="4"/>
        <v>0</v>
      </c>
      <c r="J22" s="56">
        <f t="shared" si="5"/>
        <v>0</v>
      </c>
      <c r="K22" s="56">
        <f t="shared" si="6"/>
        <v>0</v>
      </c>
      <c r="L22" s="34" t="str">
        <f t="shared" si="2"/>
        <v/>
      </c>
    </row>
    <row r="23" spans="1:15" s="4" customFormat="1" x14ac:dyDescent="0.25">
      <c r="A23" s="37"/>
      <c r="B23" s="38"/>
      <c r="C23" s="38"/>
      <c r="D23" s="38">
        <v>0</v>
      </c>
      <c r="E23" s="20">
        <f t="shared" si="3"/>
        <v>0</v>
      </c>
      <c r="F23" s="37"/>
      <c r="G23" s="57">
        <f t="shared" si="0"/>
        <v>0</v>
      </c>
      <c r="H23" s="55"/>
      <c r="I23" s="56">
        <f t="shared" si="4"/>
        <v>0</v>
      </c>
      <c r="J23" s="58">
        <f t="shared" si="5"/>
        <v>0</v>
      </c>
      <c r="K23" s="59">
        <f t="shared" si="6"/>
        <v>0</v>
      </c>
      <c r="L23" s="34" t="str">
        <f t="shared" si="2"/>
        <v/>
      </c>
    </row>
    <row r="24" spans="1:15" s="4" customFormat="1" x14ac:dyDescent="0.25">
      <c r="A24" s="33" t="s">
        <v>21</v>
      </c>
      <c r="B24" s="33"/>
      <c r="C24" s="33"/>
      <c r="D24" s="33"/>
      <c r="E24" s="31">
        <f>SUM(E14:E23)</f>
        <v>1190</v>
      </c>
      <c r="G24" s="54">
        <f>SUM(G14:G23)</f>
        <v>34597.5</v>
      </c>
      <c r="H24" s="55"/>
      <c r="I24" s="60">
        <f>SUM(I14:I23)</f>
        <v>12332.5</v>
      </c>
      <c r="J24" s="56">
        <f>SUM(J14:J23)</f>
        <v>11832.5</v>
      </c>
      <c r="K24" s="61">
        <f>SUM(K14:K23)</f>
        <v>10432.5</v>
      </c>
      <c r="L24" s="34" t="str">
        <f t="shared" si="2"/>
        <v/>
      </c>
    </row>
    <row r="25" spans="1:15" s="4" customFormat="1" ht="13.8" thickBot="1" x14ac:dyDescent="0.3">
      <c r="A25" s="32" t="s">
        <v>22</v>
      </c>
      <c r="B25" s="40">
        <v>0.20499999999999999</v>
      </c>
      <c r="G25" s="62">
        <f>G24*B25</f>
        <v>7092.4874999999993</v>
      </c>
      <c r="H25" s="63" t="s">
        <v>0</v>
      </c>
      <c r="I25" s="60">
        <f>I24*$B$25</f>
        <v>2528.1624999999999</v>
      </c>
      <c r="J25" s="60">
        <f t="shared" ref="J25:K25" si="12">J24*$B$25</f>
        <v>2425.6624999999999</v>
      </c>
      <c r="K25" s="64">
        <f t="shared" si="12"/>
        <v>2138.6624999999999</v>
      </c>
      <c r="L25" s="34" t="str">
        <f t="shared" ref="L25" si="13">IF(G25=SUM(I25:K25),"","!")</f>
        <v/>
      </c>
    </row>
    <row r="26" spans="1:15" s="1" customFormat="1" ht="13.8" thickBot="1" x14ac:dyDescent="0.3">
      <c r="A26" s="10" t="s">
        <v>23</v>
      </c>
      <c r="G26" s="65">
        <f>ABS(SUM(G24:G25))</f>
        <v>41689.987500000003</v>
      </c>
      <c r="H26" s="63" t="s">
        <v>0</v>
      </c>
      <c r="I26" s="66">
        <f>I24+I25</f>
        <v>14860.6625</v>
      </c>
      <c r="J26" s="67">
        <f>J24+J25</f>
        <v>14258.1625</v>
      </c>
      <c r="K26" s="68">
        <f>K24+K25</f>
        <v>12571.1625</v>
      </c>
      <c r="L26" s="34"/>
      <c r="O26" s="63"/>
    </row>
    <row r="27" spans="1:15" s="4" customFormat="1" x14ac:dyDescent="0.25">
      <c r="G27" s="5"/>
      <c r="H27" s="5"/>
      <c r="L27" s="34"/>
    </row>
    <row r="28" spans="1:15" s="1" customFormat="1" ht="15.6" x14ac:dyDescent="0.3">
      <c r="A28" s="111" t="s">
        <v>55</v>
      </c>
      <c r="G28" s="3"/>
      <c r="H28" s="3"/>
      <c r="L28" s="34"/>
    </row>
    <row r="29" spans="1:15" s="1" customFormat="1" x14ac:dyDescent="0.25">
      <c r="A29" s="1" t="s">
        <v>24</v>
      </c>
      <c r="G29" s="3"/>
      <c r="H29" s="3"/>
      <c r="L29" s="34"/>
    </row>
    <row r="30" spans="1:15" s="4" customFormat="1" x14ac:dyDescent="0.25">
      <c r="A30" s="84" t="s">
        <v>46</v>
      </c>
      <c r="B30" s="4">
        <v>1250</v>
      </c>
      <c r="C30" s="4">
        <v>500</v>
      </c>
      <c r="D30" s="4">
        <v>250</v>
      </c>
      <c r="F30" s="4">
        <v>1</v>
      </c>
      <c r="G30" s="79">
        <f>SUM(B30:D30)</f>
        <v>2000</v>
      </c>
      <c r="H30" s="55"/>
      <c r="I30" s="4">
        <v>1250</v>
      </c>
      <c r="J30" s="4">
        <v>500</v>
      </c>
      <c r="K30" s="4">
        <v>250</v>
      </c>
      <c r="L30" s="34" t="str">
        <f t="shared" ref="L30:L33" si="14">IF(G30=SUM(I30:K30),"","!")</f>
        <v/>
      </c>
    </row>
    <row r="31" spans="1:15" s="4" customFormat="1" x14ac:dyDescent="0.25">
      <c r="A31" s="37" t="s">
        <v>47</v>
      </c>
      <c r="B31" s="4">
        <v>1000</v>
      </c>
      <c r="C31" s="4">
        <v>500</v>
      </c>
      <c r="D31" s="4">
        <v>250</v>
      </c>
      <c r="F31" s="4">
        <v>1</v>
      </c>
      <c r="G31" s="79">
        <f>SUM(B31:D31)</f>
        <v>1750</v>
      </c>
      <c r="H31" s="55"/>
      <c r="I31" s="4">
        <v>1000</v>
      </c>
      <c r="J31" s="4">
        <v>500</v>
      </c>
      <c r="K31" s="4">
        <v>250</v>
      </c>
      <c r="L31" s="34" t="str">
        <f t="shared" si="14"/>
        <v/>
      </c>
    </row>
    <row r="32" spans="1:15" s="4" customFormat="1" x14ac:dyDescent="0.25">
      <c r="A32" s="37"/>
      <c r="G32" s="79"/>
      <c r="H32" s="55"/>
      <c r="I32" s="79"/>
      <c r="J32" s="79"/>
      <c r="K32" s="79"/>
      <c r="L32" s="34" t="str">
        <f t="shared" si="14"/>
        <v/>
      </c>
    </row>
    <row r="33" spans="1:12" s="4" customFormat="1" ht="13.8" thickBot="1" x14ac:dyDescent="0.3">
      <c r="A33" s="39"/>
      <c r="B33" s="7"/>
      <c r="C33" s="7"/>
      <c r="D33" s="7"/>
      <c r="E33" s="7"/>
      <c r="F33" s="7"/>
      <c r="G33" s="79"/>
      <c r="H33" s="55"/>
      <c r="I33" s="79"/>
      <c r="J33" s="79"/>
      <c r="K33" s="79"/>
      <c r="L33" s="34" t="str">
        <f t="shared" si="14"/>
        <v/>
      </c>
    </row>
    <row r="34" spans="1:12" s="4" customFormat="1" ht="13.8" thickBot="1" x14ac:dyDescent="0.3">
      <c r="A34" s="8" t="s">
        <v>25</v>
      </c>
      <c r="B34" s="1"/>
      <c r="C34" s="1"/>
      <c r="D34" s="1"/>
      <c r="G34" s="65">
        <f>SUM(G30:G33)</f>
        <v>3750</v>
      </c>
      <c r="H34" s="63" t="s">
        <v>0</v>
      </c>
      <c r="I34" s="69">
        <f>SUM(I30:I33)</f>
        <v>2250</v>
      </c>
      <c r="J34" s="69">
        <f>SUM(J30:J33)</f>
        <v>1000</v>
      </c>
      <c r="K34" s="69">
        <f>SUM(K30:K33)</f>
        <v>500</v>
      </c>
      <c r="L34" s="34" t="str">
        <f t="shared" ref="L34" si="15">IF(G34=SUM(I34:K34),"","!")</f>
        <v/>
      </c>
    </row>
    <row r="35" spans="1:12" s="4" customFormat="1" x14ac:dyDescent="0.25">
      <c r="G35" s="55"/>
      <c r="H35" s="55"/>
      <c r="I35" s="55"/>
      <c r="J35" s="55"/>
      <c r="K35" s="55"/>
      <c r="L35" s="34"/>
    </row>
    <row r="36" spans="1:12" s="4" customFormat="1" x14ac:dyDescent="0.25">
      <c r="A36" s="1" t="s">
        <v>26</v>
      </c>
      <c r="B36" s="1"/>
      <c r="C36" s="1"/>
      <c r="D36" s="1"/>
      <c r="G36" s="80"/>
      <c r="H36" s="55"/>
      <c r="I36" s="80"/>
      <c r="J36" s="80"/>
      <c r="K36" s="80"/>
      <c r="L36" s="34"/>
    </row>
    <row r="37" spans="1:12" s="4" customFormat="1" ht="34.5" customHeight="1" x14ac:dyDescent="0.25">
      <c r="A37" s="85" t="s">
        <v>48</v>
      </c>
      <c r="B37" s="38">
        <v>50</v>
      </c>
      <c r="C37" s="38">
        <v>25</v>
      </c>
      <c r="D37" s="38">
        <v>25</v>
      </c>
      <c r="E37" s="19">
        <f t="shared" ref="E37" si="16">SUM(B37:D37)</f>
        <v>100</v>
      </c>
      <c r="F37" s="90">
        <f>(5850*12/1600)</f>
        <v>43.875</v>
      </c>
      <c r="G37" s="79">
        <f>F37*E37</f>
        <v>4387.5</v>
      </c>
      <c r="H37" s="55"/>
      <c r="I37" s="56">
        <f>B37*$F37</f>
        <v>2193.75</v>
      </c>
      <c r="J37" s="56">
        <f t="shared" ref="J37" si="17">C37*$F37</f>
        <v>1096.875</v>
      </c>
      <c r="K37" s="56">
        <f t="shared" ref="K37" si="18">D37*$F37</f>
        <v>1096.875</v>
      </c>
      <c r="L37" s="34" t="str">
        <f t="shared" ref="L37" si="19">IF(G37=SUM(I37:K37),"","!")</f>
        <v/>
      </c>
    </row>
    <row r="38" spans="1:12" s="4" customFormat="1" x14ac:dyDescent="0.25">
      <c r="A38" s="41"/>
      <c r="G38" s="81"/>
      <c r="H38" s="55"/>
      <c r="I38" s="81"/>
      <c r="J38" s="81"/>
      <c r="K38" s="81"/>
      <c r="L38" s="34" t="str">
        <f t="shared" ref="L38" si="20">IF(G38=SUM(I38:K38),"","!")</f>
        <v/>
      </c>
    </row>
    <row r="39" spans="1:12" s="4" customFormat="1" x14ac:dyDescent="0.25">
      <c r="A39" s="1" t="s">
        <v>27</v>
      </c>
      <c r="B39" s="1"/>
      <c r="C39" s="1"/>
      <c r="D39" s="1"/>
      <c r="G39" s="80"/>
      <c r="H39" s="63"/>
      <c r="I39" s="80"/>
      <c r="J39" s="80"/>
      <c r="K39" s="80"/>
      <c r="L39" s="34" t="str">
        <f t="shared" ref="L39" si="21">IF(G39=SUM(I39:K39),"","!")</f>
        <v/>
      </c>
    </row>
    <row r="40" spans="1:12" s="4" customFormat="1" x14ac:dyDescent="0.25">
      <c r="A40" s="86"/>
      <c r="B40" s="1"/>
      <c r="C40" s="1"/>
      <c r="D40" s="1"/>
      <c r="G40" s="79"/>
      <c r="H40" s="63"/>
      <c r="I40" s="79"/>
      <c r="J40" s="79"/>
      <c r="K40" s="79"/>
      <c r="L40" s="34" t="str">
        <f>IF(G40=SUM(J40:K40),"","!")</f>
        <v/>
      </c>
    </row>
    <row r="41" spans="1:12" s="4" customFormat="1" ht="13.5" customHeight="1" x14ac:dyDescent="0.25">
      <c r="A41" s="86" t="s">
        <v>49</v>
      </c>
      <c r="B41" s="1">
        <v>500</v>
      </c>
      <c r="C41" s="1">
        <v>500</v>
      </c>
      <c r="D41" s="1">
        <v>1000</v>
      </c>
      <c r="G41" s="79">
        <f>SUM(B41:D41)</f>
        <v>2000</v>
      </c>
      <c r="H41" s="63"/>
      <c r="I41" s="1">
        <v>500</v>
      </c>
      <c r="J41" s="1">
        <v>500</v>
      </c>
      <c r="K41" s="1">
        <v>1000</v>
      </c>
      <c r="L41" s="34" t="str">
        <f t="shared" ref="L41:L43" si="22">IF(G41=SUM(I41:K41),"","!")</f>
        <v/>
      </c>
    </row>
    <row r="42" spans="1:12" s="4" customFormat="1" x14ac:dyDescent="0.25">
      <c r="A42" s="86" t="s">
        <v>50</v>
      </c>
      <c r="B42" s="1">
        <v>1000</v>
      </c>
      <c r="C42" s="1">
        <v>1000</v>
      </c>
      <c r="D42" s="1">
        <v>2000</v>
      </c>
      <c r="G42" s="79">
        <f>SUM(B42:D42)</f>
        <v>4000</v>
      </c>
      <c r="H42" s="63"/>
      <c r="I42" s="1">
        <v>1000</v>
      </c>
      <c r="J42" s="1">
        <v>1000</v>
      </c>
      <c r="K42" s="1">
        <v>2000</v>
      </c>
      <c r="L42" s="34" t="str">
        <f t="shared" si="22"/>
        <v/>
      </c>
    </row>
    <row r="43" spans="1:12" s="4" customFormat="1" x14ac:dyDescent="0.25">
      <c r="A43" s="51"/>
      <c r="B43" s="1"/>
      <c r="C43" s="1"/>
      <c r="D43" s="1"/>
      <c r="G43" s="79"/>
      <c r="H43" s="63"/>
      <c r="I43" s="79"/>
      <c r="J43" s="79"/>
      <c r="K43" s="79"/>
      <c r="L43" s="34" t="str">
        <f t="shared" si="22"/>
        <v/>
      </c>
    </row>
    <row r="44" spans="1:12" s="4" customFormat="1" ht="13.8" thickBot="1" x14ac:dyDescent="0.3">
      <c r="A44" s="52"/>
      <c r="B44" s="7"/>
      <c r="C44" s="7"/>
      <c r="D44" s="7"/>
      <c r="E44" s="7"/>
      <c r="F44" s="7"/>
      <c r="G44" s="82"/>
      <c r="H44" s="55"/>
      <c r="I44" s="81"/>
      <c r="J44" s="81"/>
      <c r="K44" s="81"/>
      <c r="L44" s="34"/>
    </row>
    <row r="45" spans="1:12" s="4" customFormat="1" ht="13.8" thickBot="1" x14ac:dyDescent="0.3">
      <c r="A45" s="8" t="s">
        <v>25</v>
      </c>
      <c r="B45" s="1"/>
      <c r="C45" s="1"/>
      <c r="D45" s="1"/>
      <c r="G45" s="65">
        <f>SUM(G36:G44)</f>
        <v>10387.5</v>
      </c>
      <c r="H45" s="63" t="s">
        <v>0</v>
      </c>
      <c r="I45" s="69">
        <f>SUM(I36:I44)</f>
        <v>3693.75</v>
      </c>
      <c r="J45" s="69">
        <f>SUM(J36:J44)</f>
        <v>2596.875</v>
      </c>
      <c r="K45" s="69">
        <f>SUM(K36:K44)</f>
        <v>4096.875</v>
      </c>
      <c r="L45" s="34" t="str">
        <f t="shared" ref="L45" si="23">IF(G45=SUM(I45:K45),"","!")</f>
        <v/>
      </c>
    </row>
    <row r="46" spans="1:12" s="4" customFormat="1" ht="13.8" thickBot="1" x14ac:dyDescent="0.3">
      <c r="G46" s="55"/>
      <c r="H46" s="55"/>
      <c r="I46" s="55"/>
      <c r="J46" s="55"/>
      <c r="K46" s="55"/>
      <c r="L46" s="34"/>
    </row>
    <row r="47" spans="1:12" s="4" customFormat="1" x14ac:dyDescent="0.25">
      <c r="A47" s="8" t="s">
        <v>28</v>
      </c>
      <c r="B47" s="1"/>
      <c r="C47" s="1"/>
      <c r="D47" s="1"/>
      <c r="G47" s="71">
        <f>+G45+G34+G26</f>
        <v>55827.487500000003</v>
      </c>
      <c r="H47" s="63" t="s">
        <v>0</v>
      </c>
      <c r="I47" s="72">
        <f>I26+I34+I45</f>
        <v>20804.412499999999</v>
      </c>
      <c r="J47" s="72">
        <f>J26+J34+J45</f>
        <v>17855.037499999999</v>
      </c>
      <c r="K47" s="72">
        <f>K26+K34+K45</f>
        <v>17168.037499999999</v>
      </c>
      <c r="L47" s="34" t="str">
        <f t="shared" ref="L47:L48" si="24">IF(G47=SUM(I47:K47),"","!")</f>
        <v/>
      </c>
    </row>
    <row r="48" spans="1:12" s="4" customFormat="1" x14ac:dyDescent="0.25">
      <c r="A48" s="1" t="s">
        <v>29</v>
      </c>
      <c r="B48" s="1"/>
      <c r="C48" s="1"/>
      <c r="D48" s="1"/>
      <c r="G48" s="73">
        <f>0.25 * G47</f>
        <v>13956.871875000001</v>
      </c>
      <c r="H48" s="63" t="s">
        <v>0</v>
      </c>
      <c r="I48" s="74">
        <f>I47*0.25</f>
        <v>5201.1031249999996</v>
      </c>
      <c r="J48" s="74">
        <f>J47*0.25</f>
        <v>4463.7593749999996</v>
      </c>
      <c r="K48" s="74">
        <f>K47*0.25</f>
        <v>4292.0093749999996</v>
      </c>
      <c r="L48" s="34" t="str">
        <f t="shared" si="24"/>
        <v/>
      </c>
    </row>
    <row r="49" spans="1:12" s="4" customFormat="1" x14ac:dyDescent="0.25">
      <c r="A49" s="1"/>
      <c r="B49" s="1"/>
      <c r="C49" s="1"/>
      <c r="D49" s="1"/>
      <c r="G49" s="70"/>
      <c r="H49" s="63"/>
      <c r="I49" s="55"/>
      <c r="J49" s="55"/>
      <c r="K49" s="55"/>
      <c r="L49" s="34"/>
    </row>
    <row r="50" spans="1:12" s="4" customFormat="1" x14ac:dyDescent="0.25">
      <c r="A50" s="1"/>
      <c r="B50" s="1"/>
      <c r="C50" s="1"/>
      <c r="D50" s="1"/>
      <c r="G50" s="70"/>
      <c r="H50" s="63"/>
      <c r="I50" s="55"/>
      <c r="J50" s="55"/>
      <c r="K50" s="55"/>
      <c r="L50" s="34"/>
    </row>
    <row r="51" spans="1:12" s="4" customFormat="1" x14ac:dyDescent="0.25">
      <c r="A51" s="49" t="s">
        <v>30</v>
      </c>
      <c r="B51" s="49"/>
      <c r="C51" s="49"/>
      <c r="D51" s="49"/>
      <c r="E51" s="50"/>
      <c r="F51" s="50"/>
      <c r="G51" s="75">
        <f>G47+G48</f>
        <v>69784.359375</v>
      </c>
      <c r="H51" s="76" t="s">
        <v>0</v>
      </c>
      <c r="I51" s="75">
        <f>I47+I48</f>
        <v>26005.515625</v>
      </c>
      <c r="J51" s="75">
        <f>J47+J48</f>
        <v>22318.796875</v>
      </c>
      <c r="K51" s="75">
        <f>K47+K48</f>
        <v>21460.046875</v>
      </c>
      <c r="L51" s="34" t="str">
        <f t="shared" ref="L51" si="25">IF(G51=SUM(I51:K51),"","!")</f>
        <v/>
      </c>
    </row>
    <row r="52" spans="1:12" s="4" customFormat="1" x14ac:dyDescent="0.25">
      <c r="G52" s="63"/>
      <c r="H52" s="63"/>
      <c r="I52" s="55"/>
      <c r="J52" s="55"/>
      <c r="K52" s="55"/>
      <c r="L52" s="34"/>
    </row>
    <row r="53" spans="1:12" s="1" customFormat="1" ht="13.8" x14ac:dyDescent="0.25">
      <c r="A53" s="12" t="s">
        <v>31</v>
      </c>
      <c r="B53" s="12"/>
      <c r="C53" s="12"/>
      <c r="D53" s="12"/>
      <c r="E53" s="13"/>
      <c r="F53" s="13"/>
      <c r="G53" s="77"/>
      <c r="H53" s="77"/>
      <c r="I53" s="77"/>
      <c r="J53" s="77"/>
      <c r="K53" s="77"/>
      <c r="L53" s="34"/>
    </row>
    <row r="54" spans="1:12" s="4" customFormat="1" ht="15.6" customHeight="1" x14ac:dyDescent="0.25">
      <c r="A54" s="4" t="s">
        <v>35</v>
      </c>
      <c r="B54" s="42"/>
      <c r="C54" s="45">
        <v>1</v>
      </c>
      <c r="G54" s="74">
        <f>G51*$C$54</f>
        <v>69784.359375</v>
      </c>
      <c r="H54" s="63" t="s">
        <v>0</v>
      </c>
      <c r="I54" s="74">
        <f t="shared" ref="I54:K54" si="26">I51*$C$54</f>
        <v>26005.515625</v>
      </c>
      <c r="J54" s="74">
        <f t="shared" si="26"/>
        <v>22318.796875</v>
      </c>
      <c r="K54" s="74">
        <f t="shared" si="26"/>
        <v>21460.046875</v>
      </c>
      <c r="L54" s="34" t="str">
        <f t="shared" ref="L54:L57" si="27">IF(G54=SUM(I54:K54),"","!")</f>
        <v/>
      </c>
    </row>
    <row r="55" spans="1:12" ht="15.6" customHeight="1" x14ac:dyDescent="0.25">
      <c r="A55" s="41" t="s">
        <v>32</v>
      </c>
      <c r="B55" s="4"/>
      <c r="C55" s="45">
        <v>0</v>
      </c>
      <c r="D55" s="4"/>
      <c r="E55" s="24"/>
      <c r="F55" s="24"/>
      <c r="G55" s="74">
        <f>$C$55*G51</f>
        <v>0</v>
      </c>
      <c r="H55" s="63" t="s">
        <v>0</v>
      </c>
      <c r="I55" s="74">
        <f>$C$55*I51</f>
        <v>0</v>
      </c>
      <c r="J55" s="74">
        <f>$C$55*J51</f>
        <v>0</v>
      </c>
      <c r="K55" s="74">
        <f>$C$55*K51</f>
        <v>0</v>
      </c>
      <c r="L55" s="34" t="str">
        <f t="shared" si="27"/>
        <v/>
      </c>
    </row>
    <row r="56" spans="1:12" ht="15.6" customHeight="1" thickBot="1" x14ac:dyDescent="0.3">
      <c r="A56" s="7" t="s">
        <v>33</v>
      </c>
      <c r="B56" s="47" t="str">
        <f>IF(C56&lt;0%,"!","")</f>
        <v/>
      </c>
      <c r="C56" s="46">
        <f>1-(C54+C55)</f>
        <v>0</v>
      </c>
      <c r="D56" s="7"/>
      <c r="E56" s="14"/>
      <c r="F56" s="14"/>
      <c r="G56" s="64">
        <f>G51-G54+G55</f>
        <v>0</v>
      </c>
      <c r="H56" s="54"/>
      <c r="I56" s="74">
        <f>I51-I54+I55</f>
        <v>0</v>
      </c>
      <c r="J56" s="74">
        <f>J51-J54+J55</f>
        <v>0</v>
      </c>
      <c r="K56" s="74">
        <f>K51-K54+K55</f>
        <v>0</v>
      </c>
      <c r="L56" s="34" t="str">
        <f t="shared" si="27"/>
        <v/>
      </c>
    </row>
    <row r="57" spans="1:12" ht="13.8" thickBot="1" x14ac:dyDescent="0.3">
      <c r="A57" s="4" t="s">
        <v>34</v>
      </c>
      <c r="B57" s="4"/>
      <c r="C57" s="48">
        <f>SUM(C54:C56)</f>
        <v>1</v>
      </c>
      <c r="D57" s="34" t="str">
        <f>IF(C57=100%,"","!")</f>
        <v/>
      </c>
      <c r="G57" s="78">
        <f>SUM(G54:G56)</f>
        <v>69784.359375</v>
      </c>
      <c r="H57" s="63" t="s">
        <v>0</v>
      </c>
      <c r="I57" s="78">
        <f>SUM(I54:I56)</f>
        <v>26005.515625</v>
      </c>
      <c r="J57" s="78">
        <f>SUM(J54:J56)</f>
        <v>22318.796875</v>
      </c>
      <c r="K57" s="78">
        <f>SUM(K54:K56)</f>
        <v>21460.046875</v>
      </c>
      <c r="L57" s="34" t="str">
        <f t="shared" si="27"/>
        <v/>
      </c>
    </row>
    <row r="58" spans="1:12" x14ac:dyDescent="0.25">
      <c r="G58" s="83"/>
      <c r="H58" s="83"/>
      <c r="I58" s="83"/>
      <c r="J58" s="83"/>
      <c r="K58" s="83"/>
    </row>
  </sheetData>
  <sheetProtection selectLockedCells="1"/>
  <mergeCells count="10">
    <mergeCell ref="I12:J12"/>
    <mergeCell ref="A1:G1"/>
    <mergeCell ref="B12:D12"/>
    <mergeCell ref="I11:K11"/>
    <mergeCell ref="A10:K10"/>
    <mergeCell ref="C4:K4"/>
    <mergeCell ref="C5:K5"/>
    <mergeCell ref="C6:E6"/>
    <mergeCell ref="H8:I8"/>
    <mergeCell ref="H9:I9"/>
  </mergeCells>
  <phoneticPr fontId="3" type="noConversion"/>
  <printOptions gridLines="1"/>
  <pageMargins left="0.55118110236220474" right="0.59055118110236227" top="0.43307086614173229" bottom="0.47244094488188981" header="0.31496062992125984" footer="0.27559055118110237"/>
  <pageSetup orientation="portrait" r:id="rId1"/>
  <headerFooter alignWithMargins="0">
    <oddFooter>&amp;C&amp;F&amp;R&amp;D / JH</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MAddres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3A32CCE894214F8AC7867D87A9ABE0" ma:contentTypeVersion="14" ma:contentTypeDescription="Create a new document." ma:contentTypeScope="" ma:versionID="2e5cbf2098758b5835c595811b9fac91">
  <xsd:schema xmlns:xsd="http://www.w3.org/2001/XMLSchema" xmlns:xs="http://www.w3.org/2001/XMLSchema" xmlns:p="http://schemas.microsoft.com/office/2006/metadata/properties" xmlns:ns1="http://schemas.microsoft.com/sharepoint/v3" xmlns:ns3="5824cde3-de19-4dd4-99fb-8e97a88e6d70" xmlns:ns4="5de2e8c8-378a-42b1-8a1f-9c59715cac6d" targetNamespace="http://schemas.microsoft.com/office/2006/metadata/properties" ma:root="true" ma:fieldsID="5ad06345c9021bd817bf02946b546b6c" ns1:_="" ns3:_="" ns4:_="">
    <xsd:import namespace="http://schemas.microsoft.com/sharepoint/v3"/>
    <xsd:import namespace="5824cde3-de19-4dd4-99fb-8e97a88e6d70"/>
    <xsd:import namespace="5de2e8c8-378a-42b1-8a1f-9c59715cac6d"/>
    <xsd:element name="properties">
      <xsd:complexType>
        <xsd:sequence>
          <xsd:element name="documentManagement">
            <xsd:complexType>
              <xsd:all>
                <xsd:element ref="ns3:SharedWithUsers" minOccurs="0"/>
                <xsd:element ref="ns1:IMAddress" minOccurs="0"/>
                <xsd:element ref="ns3:SharingHintHash" minOccurs="0"/>
                <xsd:element ref="ns4:MediaServiceMetadata" minOccurs="0"/>
                <xsd:element ref="ns4:MediaServiceFastMetadata" minOccurs="0"/>
                <xsd:element ref="ns3:SharedWithDetails"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MAddress" ma:index="9" nillable="true" ma:displayName="IM Address" ma:description="" ma:internalName="IMAddres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24cde3-de19-4dd4-99fb-8e97a88e6d7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0" nillable="true" ma:displayName="Sharing Hint Hash" ma:description="" ma:internalName="SharingHintHash" ma:readOnly="true">
      <xsd:simpleType>
        <xsd:restriction base="dms:Text"/>
      </xsd:simpleType>
    </xsd:element>
    <xsd:element name="SharedWithDetails" ma:index="13"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e2e8c8-378a-42b1-8a1f-9c59715cac6d"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9BB5C9-156A-4B46-83D6-A2C433EA3FCC}">
  <ds:schemaRefs>
    <ds:schemaRef ds:uri="http://schemas.microsoft.com/sharepoint/v3/contenttype/forms"/>
  </ds:schemaRefs>
</ds:datastoreItem>
</file>

<file path=customXml/itemProps2.xml><?xml version="1.0" encoding="utf-8"?>
<ds:datastoreItem xmlns:ds="http://schemas.openxmlformats.org/officeDocument/2006/customXml" ds:itemID="{8F5EB3F2-6770-4AD9-8633-3D6AE8D2CBAB}">
  <ds:schemaRefs>
    <ds:schemaRef ds:uri="http://schemas.microsoft.com/office/2006/documentManagement/types"/>
    <ds:schemaRef ds:uri="http://schemas.microsoft.com/sharepoint/v3"/>
    <ds:schemaRef ds:uri="http://purl.org/dc/elements/1.1/"/>
    <ds:schemaRef ds:uri="http://schemas.microsoft.com/office/2006/metadata/properties"/>
    <ds:schemaRef ds:uri="http://purl.org/dc/terms/"/>
    <ds:schemaRef ds:uri="5de2e8c8-378a-42b1-8a1f-9c59715cac6d"/>
    <ds:schemaRef ds:uri="http://schemas.microsoft.com/office/infopath/2007/PartnerControls"/>
    <ds:schemaRef ds:uri="http://www.w3.org/XML/1998/namespace"/>
    <ds:schemaRef ds:uri="http://schemas.openxmlformats.org/package/2006/metadata/core-properties"/>
    <ds:schemaRef ds:uri="5824cde3-de19-4dd4-99fb-8e97a88e6d70"/>
    <ds:schemaRef ds:uri="http://purl.org/dc/dcmitype/"/>
  </ds:schemaRefs>
</ds:datastoreItem>
</file>

<file path=customXml/itemProps3.xml><?xml version="1.0" encoding="utf-8"?>
<ds:datastoreItem xmlns:ds="http://schemas.openxmlformats.org/officeDocument/2006/customXml" ds:itemID="{0947B6FF-116F-4646-B6C4-D184EA9E51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24cde3-de19-4dd4-99fb-8e97a88e6d70"/>
    <ds:schemaRef ds:uri="5de2e8c8-378a-42b1-8a1f-9c59715cac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Arcada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grahn-liljestrand</dc:creator>
  <cp:keywords/>
  <dc:description/>
  <cp:lastModifiedBy>Niraj Dayama</cp:lastModifiedBy>
  <cp:revision/>
  <cp:lastPrinted>2021-08-25T12:21:00Z</cp:lastPrinted>
  <dcterms:created xsi:type="dcterms:W3CDTF">2006-11-10T06:51:34Z</dcterms:created>
  <dcterms:modified xsi:type="dcterms:W3CDTF">2025-08-04T08:39:18Z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0x010100AF3A32CCE894214F8AC7867D87A9ABE0</vt:lpwstr>
  </property>
</Properties>
</file>